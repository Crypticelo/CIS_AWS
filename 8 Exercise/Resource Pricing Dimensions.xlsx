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<sst xmlns="http://schemas.openxmlformats.org/spreadsheetml/2006/main" count="26" uniqueCount="21">
  <si>
    <t>ID</t>
  </si>
  <si>
    <t>Name</t>
  </si>
  <si>
    <t>vCPUs</t>
  </si>
  <si>
    <t>RAM [GB]</t>
  </si>
  <si>
    <t>Processor</t>
  </si>
  <si>
    <t>Storage</t>
  </si>
  <si>
    <t>Network [Gbit/s]</t>
  </si>
  <si>
    <t>Price [$/h]</t>
  </si>
  <si>
    <t>delta mem</t>
  </si>
  <si>
    <t>delta $</t>
  </si>
  <si>
    <t>$/GB</t>
  </si>
  <si>
    <t>r7g.16xlarge</t>
  </si>
  <si>
    <t>Graviton3</t>
  </si>
  <si>
    <t>EBS only</t>
  </si>
  <si>
    <t>1,2</t>
  </si>
  <si>
    <t>m7g.16xlarge</t>
  </si>
  <si>
    <t>1,3</t>
  </si>
  <si>
    <t>c7g.16xlarge</t>
  </si>
  <si>
    <t>2,3</t>
  </si>
  <si>
    <t>$</t>
  </si>
  <si>
    <t>64GB RAM/h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</si>
</sst>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  <col customWidth="1" min="7" max="7" width="14.13"/>
    <col customWidth="1" min="8" max="8" width="9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K2" s="2" t="s">
        <v>8</v>
      </c>
      <c r="L2" s="2" t="s">
        <v>9</v>
      </c>
      <c r="M2" s="2" t="s">
        <v>10</v>
      </c>
    </row>
    <row r="3">
      <c r="A3" s="2">
        <v>1.0</v>
      </c>
      <c r="B3" s="2" t="s">
        <v>11</v>
      </c>
      <c r="C3" s="2">
        <v>64.0</v>
      </c>
      <c r="D3" s="2">
        <v>512.0</v>
      </c>
      <c r="E3" s="2" t="s">
        <v>12</v>
      </c>
      <c r="F3" s="2" t="s">
        <v>13</v>
      </c>
      <c r="G3" s="2">
        <v>30.0</v>
      </c>
      <c r="H3" s="2">
        <v>3.4272</v>
      </c>
      <c r="I3" s="3">
        <f t="shared" ref="I3:I5" si="1">H3/D3</f>
        <v>0.00669375</v>
      </c>
      <c r="J3" s="2" t="s">
        <v>14</v>
      </c>
      <c r="K3" s="3">
        <f>D3-D4</f>
        <v>256</v>
      </c>
      <c r="L3" s="3">
        <f>H3-H4</f>
        <v>0.816</v>
      </c>
      <c r="M3" s="3">
        <f t="shared" ref="M3:M5" si="2">L3/K3</f>
        <v>0.0031875</v>
      </c>
    </row>
    <row r="4">
      <c r="A4" s="2">
        <v>2.0</v>
      </c>
      <c r="B4" s="2" t="s">
        <v>15</v>
      </c>
      <c r="C4" s="2">
        <v>64.0</v>
      </c>
      <c r="D4" s="2">
        <v>256.0</v>
      </c>
      <c r="E4" s="4" t="s">
        <v>12</v>
      </c>
      <c r="F4" s="4" t="s">
        <v>13</v>
      </c>
      <c r="G4" s="4">
        <v>30.0</v>
      </c>
      <c r="H4" s="2">
        <v>2.6112</v>
      </c>
      <c r="I4" s="3">
        <f t="shared" si="1"/>
        <v>0.0102</v>
      </c>
      <c r="J4" s="2" t="s">
        <v>16</v>
      </c>
      <c r="K4" s="3">
        <f>D3-D5</f>
        <v>384</v>
      </c>
      <c r="L4" s="3">
        <f>H3-H5</f>
        <v>1.1072</v>
      </c>
      <c r="M4" s="3">
        <f t="shared" si="2"/>
        <v>0.002883333333</v>
      </c>
    </row>
    <row r="5">
      <c r="A5" s="2">
        <v>3.0</v>
      </c>
      <c r="B5" s="2" t="s">
        <v>17</v>
      </c>
      <c r="C5" s="2">
        <v>64.0</v>
      </c>
      <c r="D5" s="2">
        <v>128.0</v>
      </c>
      <c r="E5" s="4" t="s">
        <v>12</v>
      </c>
      <c r="F5" s="4" t="s">
        <v>13</v>
      </c>
      <c r="G5" s="4">
        <v>30.0</v>
      </c>
      <c r="H5" s="2">
        <v>2.32</v>
      </c>
      <c r="I5" s="3">
        <f t="shared" si="1"/>
        <v>0.018125</v>
      </c>
      <c r="J5" s="2" t="s">
        <v>18</v>
      </c>
      <c r="K5" s="3">
        <f>D4-D5</f>
        <v>128</v>
      </c>
      <c r="L5" s="3">
        <f>H4-H5</f>
        <v>0.2912</v>
      </c>
      <c r="M5" s="3">
        <f t="shared" si="2"/>
        <v>0.002275</v>
      </c>
    </row>
    <row r="8">
      <c r="I8" s="2" t="s">
        <v>3</v>
      </c>
      <c r="J8" s="2">
        <v>64.0</v>
      </c>
    </row>
    <row r="9">
      <c r="I9" s="2" t="s">
        <v>19</v>
      </c>
      <c r="J9" s="2">
        <v>120.0</v>
      </c>
    </row>
    <row r="10">
      <c r="K10" s="2" t="s">
        <v>20</v>
      </c>
      <c r="L10" s="3">
        <f>J8*M3</f>
        <v>0.204</v>
      </c>
    </row>
    <row r="11">
      <c r="L11" s="3">
        <f>J9/L10</f>
        <v>588.2352941</v>
      </c>
    </row>
    <row r="12">
      <c r="I12" s="3">
        <f>120/64</f>
        <v>1.875</v>
      </c>
      <c r="L12" s="3">
        <f>L11/24</f>
        <v>24.50980392</v>
      </c>
    </row>
  </sheetData>
  <drawing r:id="rId1"/>
</worksheet>
</file>