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<sst xmlns="http://schemas.openxmlformats.org/spreadsheetml/2006/main" count="54" uniqueCount="52">
  <si>
    <t>General Parameters</t>
  </si>
  <si>
    <t>Cost Models</t>
  </si>
  <si>
    <t>Movie Duration [in Minutes]</t>
  </si>
  <si>
    <t>S3 Cost per Read [in $]</t>
  </si>
  <si>
    <t>Frames per Second</t>
  </si>
  <si>
    <t>S3 Cost per Write [in $]</t>
  </si>
  <si>
    <t>Size per hour [in GB]</t>
  </si>
  <si>
    <t>(1080p, seg1)</t>
  </si>
  <si>
    <t>Time per Slice [in Minutes]</t>
  </si>
  <si>
    <t>Lambda Price per Invocation [in $]</t>
  </si>
  <si>
    <t>(1080p, segN)</t>
  </si>
  <si>
    <t>Number of Output Formats</t>
  </si>
  <si>
    <t>Lambda Duration Cost [in $/GB-s]</t>
  </si>
  <si>
    <t>(720p, seg1)</t>
  </si>
  <si>
    <t>Lambda GB per vCPU</t>
  </si>
  <si>
    <t>c6g.4xlarge Transcoding FPS</t>
  </si>
  <si>
    <t>Graviton Transcoding FPS per Core</t>
  </si>
  <si>
    <t>Lambda Number of vCPUs</t>
  </si>
  <si>
    <t>Lambda Configuration [in GB]</t>
  </si>
  <si>
    <t>Lambda Average Bandwidth [in MB/s]</t>
  </si>
  <si>
    <t>Phase 1: Video Segmentation</t>
  </si>
  <si>
    <t>Phase 2: Video Transcoding</t>
  </si>
  <si>
    <t># of Segments</t>
  </si>
  <si>
    <t>FPS per Lambda</t>
  </si>
  <si>
    <t>Movie Size [in GB]</t>
  </si>
  <si>
    <t># of Lambdas</t>
  </si>
  <si>
    <t>Movie Load Time [in seconds]</t>
  </si>
  <si>
    <t>Frames per Lambda</t>
  </si>
  <si>
    <t>Lambda Runtime [in seconds]</t>
  </si>
  <si>
    <t>Transcoding Time [in seconds]</t>
  </si>
  <si>
    <t># of S3 Reads</t>
  </si>
  <si>
    <t>Video Load/Store Time [in seconds]</t>
  </si>
  <si>
    <t># of S3 Writes</t>
  </si>
  <si>
    <t>Runtime per Lambda [in seconds]</t>
  </si>
  <si>
    <t>Total S3 Cost [in $]</t>
  </si>
  <si>
    <t>Cost per Lambda [in $]</t>
  </si>
  <si>
    <t>Lambda Duration Cost [in $]</t>
  </si>
  <si>
    <t># of S3 Reads per Lambda</t>
  </si>
  <si>
    <t>Total Lambda Cost [in $]</t>
  </si>
  <si>
    <t># of S3 Writes per Lambda</t>
  </si>
  <si>
    <t>Total Cost of Segmentation [in $]</t>
  </si>
  <si>
    <t>S3 Cost per Lambda [in $]</t>
  </si>
  <si>
    <t>Total Cost of Transcoding [in $]</t>
  </si>
  <si>
    <t>Using EC2 Instances</t>
  </si>
  <si>
    <t>FPS</t>
  </si>
  <si>
    <t>$/sec</t>
  </si>
  <si>
    <t>$/FP</t>
  </si>
  <si>
    <t>$/movie/resolution</t>
  </si>
  <si>
    <t>$/movie</t>
  </si>
  <si>
    <t>c6g.4xlarge</t>
  </si>
  <si>
    <t>c7g.4xlarge</t>
  </si>
  <si>
    <t>Frames per Movie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</si>
</sst>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&quot;Liberation Sans&quot;"/>
    </font>
    <font>
      <sz val="10.0"/>
      <color theme="1"/>
      <name val="&quot;Liberation Sans&quot;"/>
    </font>
    <font>
      <color theme="1"/>
      <name val="Liberation Sans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A6A6"/>
        <bgColor rgb="FFFFA6A6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2" fontId="3" numFmtId="0" xfId="0" applyAlignment="1" applyFont="1">
      <alignment horizontal="left" readingOrder="0"/>
    </xf>
    <xf borderId="0" fillId="0" fontId="6" numFmtId="0" xfId="0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7.13"/>
    <col customWidth="1" min="4" max="4" width="27.0"/>
    <col customWidth="1" min="6" max="6" width="15.88"/>
  </cols>
  <sheetData>
    <row r="1">
      <c r="A1" s="1" t="s">
        <v>0</v>
      </c>
      <c r="B1" s="2"/>
      <c r="D1" s="1" t="s">
        <v>1</v>
      </c>
      <c r="E1" s="2"/>
    </row>
    <row r="2">
      <c r="A2" s="3" t="s">
        <v>2</v>
      </c>
      <c r="B2" s="4">
        <v>120.0</v>
      </c>
      <c r="D2" s="5" t="s">
        <v>3</v>
      </c>
      <c r="E2" s="6">
        <v>4.0E-7</v>
      </c>
    </row>
    <row r="3">
      <c r="A3" s="3" t="s">
        <v>4</v>
      </c>
      <c r="B3" s="4">
        <v>30.0</v>
      </c>
      <c r="D3" s="5" t="s">
        <v>5</v>
      </c>
      <c r="E3" s="6">
        <v>5.0E-6</v>
      </c>
    </row>
    <row r="4">
      <c r="A4" s="3" t="s">
        <v>6</v>
      </c>
      <c r="B4" s="7">
        <v>6.0</v>
      </c>
      <c r="D4" s="2"/>
      <c r="E4" s="2"/>
      <c r="H4" s="8" t="s">
        <v>7</v>
      </c>
    </row>
    <row r="5">
      <c r="A5" s="3" t="s">
        <v>8</v>
      </c>
      <c r="B5" s="4">
        <v>5.0</v>
      </c>
      <c r="D5" s="5" t="s">
        <v>9</v>
      </c>
      <c r="E5" s="6">
        <v>2.0E-7</v>
      </c>
      <c r="H5" s="8" t="s">
        <v>10</v>
      </c>
    </row>
    <row r="6">
      <c r="A6" s="3" t="s">
        <v>11</v>
      </c>
      <c r="B6" s="9">
        <v>6.0</v>
      </c>
      <c r="D6" s="5" t="s">
        <v>12</v>
      </c>
      <c r="E6" s="6">
        <v>1.06667E-5</v>
      </c>
      <c r="H6" s="8" t="s">
        <v>13</v>
      </c>
    </row>
    <row r="7">
      <c r="B7" s="10"/>
      <c r="D7" s="8" t="s">
        <v>14</v>
      </c>
      <c r="E7" s="8">
        <v>1.75</v>
      </c>
    </row>
    <row r="8">
      <c r="A8" s="8" t="s">
        <v>15</v>
      </c>
      <c r="B8" s="9">
        <v>41.0</v>
      </c>
    </row>
    <row r="9">
      <c r="A9" s="3" t="s">
        <v>16</v>
      </c>
      <c r="B9" s="9">
        <f>B8/16</f>
        <v>2.5625</v>
      </c>
    </row>
    <row r="10">
      <c r="A10" s="3" t="s">
        <v>17</v>
      </c>
      <c r="B10" s="9">
        <v>4.0</v>
      </c>
    </row>
    <row r="11">
      <c r="A11" s="5" t="s">
        <v>18</v>
      </c>
      <c r="B11" s="9">
        <f>B10*E7</f>
        <v>7</v>
      </c>
    </row>
    <row r="12">
      <c r="A12" s="5" t="s">
        <v>19</v>
      </c>
      <c r="B12" s="4">
        <v>90.0</v>
      </c>
    </row>
    <row r="14">
      <c r="A14" s="11" t="s">
        <v>20</v>
      </c>
      <c r="D14" s="11" t="s">
        <v>21</v>
      </c>
    </row>
    <row r="15">
      <c r="A15" s="3" t="s">
        <v>22</v>
      </c>
      <c r="B15" s="12">
        <f>B2/B5</f>
        <v>24</v>
      </c>
      <c r="D15" s="5" t="s">
        <v>23</v>
      </c>
      <c r="E15" s="12">
        <f>B9*B10</f>
        <v>10.25</v>
      </c>
    </row>
    <row r="16">
      <c r="A16" s="5" t="s">
        <v>24</v>
      </c>
      <c r="B16" s="12">
        <f>B2/60*B4</f>
        <v>12</v>
      </c>
      <c r="D16" s="3" t="s">
        <v>25</v>
      </c>
      <c r="E16" s="12">
        <f>B15*B6</f>
        <v>144</v>
      </c>
    </row>
    <row r="17">
      <c r="A17" s="5" t="s">
        <v>26</v>
      </c>
      <c r="B17" s="12">
        <f>B16*1024/B12</f>
        <v>136.5333333</v>
      </c>
      <c r="D17" s="3" t="s">
        <v>27</v>
      </c>
      <c r="E17" s="12">
        <f>B5*60*B3</f>
        <v>9000</v>
      </c>
    </row>
    <row r="18">
      <c r="A18" s="3" t="s">
        <v>28</v>
      </c>
      <c r="B18" s="12">
        <f>2*B17</f>
        <v>273.0666667</v>
      </c>
      <c r="D18" s="5" t="s">
        <v>29</v>
      </c>
      <c r="E18" s="12">
        <f>E17/E15</f>
        <v>878.0487805</v>
      </c>
    </row>
    <row r="19">
      <c r="A19" s="3" t="s">
        <v>30</v>
      </c>
      <c r="B19" s="8">
        <v>1.0</v>
      </c>
      <c r="D19" s="5" t="s">
        <v>31</v>
      </c>
      <c r="E19" s="12">
        <f>B5*1024/B12</f>
        <v>56.88888889</v>
      </c>
    </row>
    <row r="20">
      <c r="A20" s="3" t="s">
        <v>32</v>
      </c>
      <c r="B20" s="12">
        <f>B15</f>
        <v>24</v>
      </c>
      <c r="D20" s="3" t="s">
        <v>33</v>
      </c>
      <c r="E20" s="12">
        <f>E18+2*E19</f>
        <v>991.8265583</v>
      </c>
    </row>
    <row r="21">
      <c r="A21" s="3" t="s">
        <v>34</v>
      </c>
      <c r="B21" s="12">
        <f>E2*B19+E3*B20</f>
        <v>0.0001204</v>
      </c>
      <c r="D21" s="3" t="s">
        <v>35</v>
      </c>
      <c r="E21" s="12">
        <f>E5+E20*E6*B11</f>
        <v>0.07405681444</v>
      </c>
    </row>
    <row r="22">
      <c r="A22" s="13"/>
      <c r="D22" s="13"/>
    </row>
    <row r="23">
      <c r="A23" s="3" t="s">
        <v>36</v>
      </c>
      <c r="B23" s="12">
        <f>B18*B11*E6</f>
        <v>0.02038904149</v>
      </c>
      <c r="D23" s="3" t="s">
        <v>37</v>
      </c>
      <c r="E23" s="8">
        <v>1.0</v>
      </c>
    </row>
    <row r="24">
      <c r="A24" s="3" t="s">
        <v>38</v>
      </c>
      <c r="B24" s="12">
        <f>B23+E5</f>
        <v>0.02038924149</v>
      </c>
      <c r="D24" s="3" t="s">
        <v>39</v>
      </c>
      <c r="E24" s="8">
        <v>1.0</v>
      </c>
    </row>
    <row r="25">
      <c r="A25" s="3" t="s">
        <v>40</v>
      </c>
      <c r="B25" s="12">
        <f>B24+B21</f>
        <v>0.02050964149</v>
      </c>
      <c r="D25" s="3" t="s">
        <v>41</v>
      </c>
      <c r="E25" s="12">
        <f>E2+E3</f>
        <v>0.0000054</v>
      </c>
    </row>
    <row r="26">
      <c r="D26" s="13"/>
    </row>
    <row r="27">
      <c r="D27" s="3" t="s">
        <v>34</v>
      </c>
    </row>
    <row r="28">
      <c r="D28" s="3" t="s">
        <v>38</v>
      </c>
      <c r="E28" s="12">
        <f>E16*(E21+E25)</f>
        <v>10.66495888</v>
      </c>
    </row>
    <row r="29">
      <c r="D29" s="3" t="s">
        <v>42</v>
      </c>
      <c r="E29" s="12">
        <f>B25+E28</f>
        <v>10.68546852</v>
      </c>
    </row>
    <row r="32">
      <c r="D32" s="1" t="s">
        <v>43</v>
      </c>
    </row>
    <row r="33">
      <c r="C33" s="8" t="s">
        <v>44</v>
      </c>
      <c r="D33" s="8" t="s">
        <v>45</v>
      </c>
      <c r="E33" s="8" t="s">
        <v>46</v>
      </c>
      <c r="F33" s="8" t="s">
        <v>47</v>
      </c>
      <c r="G33" s="8" t="s">
        <v>48</v>
      </c>
    </row>
    <row r="34">
      <c r="B34" s="8" t="s">
        <v>49</v>
      </c>
      <c r="C34" s="8">
        <v>41.0</v>
      </c>
      <c r="D34" s="8">
        <v>1.51E-4</v>
      </c>
      <c r="E34" s="12">
        <f t="shared" ref="E34:E35" si="1">D34/C34</f>
        <v>0.000003682926829</v>
      </c>
      <c r="F34" s="12">
        <f t="shared" ref="F34:F35" si="2">$C$38*E34</f>
        <v>0.7955121951</v>
      </c>
      <c r="G34" s="12">
        <f t="shared" ref="G34:G35" si="3">F34*6</f>
        <v>4.773073171</v>
      </c>
    </row>
    <row r="35">
      <c r="B35" s="8" t="s">
        <v>50</v>
      </c>
      <c r="C35" s="8">
        <v>59.0</v>
      </c>
      <c r="D35" s="8">
        <v>1.61E-4</v>
      </c>
      <c r="E35" s="12">
        <f t="shared" si="1"/>
        <v>0.000002728813559</v>
      </c>
      <c r="F35" s="12">
        <f t="shared" si="2"/>
        <v>0.5894237288</v>
      </c>
      <c r="G35" s="12">
        <f t="shared" si="3"/>
        <v>3.536542373</v>
      </c>
    </row>
    <row r="38">
      <c r="B38" s="8" t="s">
        <v>51</v>
      </c>
      <c r="C38" s="12">
        <f>B2*60*B3</f>
        <v>216000</v>
      </c>
    </row>
  </sheetData>
  <drawing r:id="rId1"/>
</worksheet>
</file>