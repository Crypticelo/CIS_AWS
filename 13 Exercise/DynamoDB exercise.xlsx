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<sst xmlns="http://schemas.openxmlformats.org/spreadsheetml/2006/main" count="54" uniqueCount="53">
  <si>
    <t>Performance Characteristics</t>
  </si>
  <si>
    <t>i3en</t>
  </si>
  <si>
    <t>(Assume that we are using i3en instances for storage nodes)</t>
  </si>
  <si>
    <t>ssd storage [tb]</t>
  </si>
  <si>
    <t>network [gbits]</t>
  </si>
  <si>
    <t>Bottleneck Analysis</t>
  </si>
  <si>
    <t>$/month</t>
  </si>
  <si>
    <t>Bandwidth [GB/s]</t>
  </si>
  <si>
    <t>4KB Write Operations/sec</t>
  </si>
  <si>
    <t>RandRead SSD IOPS</t>
  </si>
  <si>
    <t>* 1IOP reads 4kb of data</t>
  </si>
  <si>
    <t>Network Bandwidth</t>
  </si>
  <si>
    <t>RandWrite SSD IOPS</t>
  </si>
  <si>
    <t>* Performance numbers based on AWS performance specifications</t>
  </si>
  <si>
    <t>Storage Bandwidth</t>
  </si>
  <si>
    <t>AWS Egress Cost</t>
  </si>
  <si>
    <t>Egress Cost $/gb</t>
  </si>
  <si>
    <t>CPU-bound</t>
  </si>
  <si>
    <t>* Traversing a B+ Tree is not very compute intensive; we are not compute bound</t>
  </si>
  <si>
    <t>"Self-hosted" DynamoDB</t>
  </si>
  <si>
    <t>Storage</t>
  </si>
  <si>
    <t>Question: What is the operational cost of running the DynamoDB ourselves on AWS?</t>
  </si>
  <si>
    <t>Number of Replicas</t>
  </si>
  <si>
    <t>* 1 leader copy, 2 replica copies</t>
  </si>
  <si>
    <t>Storage Nodes $/month</t>
  </si>
  <si>
    <t>Storage Cost $/tb</t>
  </si>
  <si>
    <t>* storing 1tb of user data effectively requires 3tb (3 copies)</t>
  </si>
  <si>
    <t>Write [Assuming 4KB per write request]</t>
  </si>
  <si>
    <t>Question: What is the operational cost of one 4KB write request?</t>
  </si>
  <si>
    <t>Egress cost for 4kb $</t>
  </si>
  <si>
    <t>* We pay for inter-az network traffic between request router and leader, and leader and two followers</t>
  </si>
  <si>
    <t>SSD IOP per month</t>
  </si>
  <si>
    <t>* normalize to requests per month so we can divide by instance cost per month</t>
  </si>
  <si>
    <t>Network Requests per month</t>
  </si>
  <si>
    <t>Total 4kb Write Request per month</t>
  </si>
  <si>
    <t>* Assuming we have an aggregated bandwidth of 100Gbits, this is our bottleneck (3.2M/3 &lt; 1.6M) -&gt; See D17 for /3</t>
  </si>
  <si>
    <t>Cost per write $/iop</t>
  </si>
  <si>
    <t>* The point being: The bottleneck resource dictates how many requests per second we can serve</t>
  </si>
  <si>
    <t>Total Write Cost [$/4WRU]</t>
  </si>
  <si>
    <t>* 3xSSD Write + 3x Egress Cost</t>
  </si>
  <si>
    <t>4 Million  WRU [$/4M WRU]</t>
  </si>
  <si>
    <t>* We will compare 4M WRU prices</t>
  </si>
  <si>
    <t>Comparison to DynamoDB</t>
  </si>
  <si>
    <t>DynamoDB Pricing</t>
  </si>
  <si>
    <t>Storage Cost [$/TB]</t>
  </si>
  <si>
    <t>Savings relative to DynamoDB</t>
  </si>
  <si>
    <t>* a bit cheaper than DynamoDB (but also 3 year commitment)</t>
  </si>
  <si>
    <t>$/MWRU [1kb]</t>
  </si>
  <si>
    <t>$/MWRU [* 4kb]</t>
  </si>
  <si>
    <t>* Since we do 4KB writes, we will be charged 4WRU per write</t>
  </si>
  <si>
    <t>* Our self-hosted system is x20 cheaper</t>
  </si>
  <si>
    <t>* Assumptions (such as utilization, other parts of the infrastructure) will shift the result</t>
  </si>
  <si>
    <t>* Our cost is dominated by egress cost; compressing the payloads could reduce our egress cost (and we are quickly SSD-bound again)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</si>
</sst>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1" numFmtId="11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34.75"/>
    <col customWidth="1" min="3" max="3" width="20.88"/>
    <col customWidth="1" min="4" max="4" width="14.25"/>
    <col customWidth="1" min="7" max="7" width="16.63"/>
    <col customWidth="1" min="8" max="8" width="14.13"/>
  </cols>
  <sheetData>
    <row r="2">
      <c r="A2" s="1" t="s">
        <v>0</v>
      </c>
      <c r="B2" s="1" t="s">
        <v>1</v>
      </c>
      <c r="C2" s="1" t="s">
        <v>2</v>
      </c>
    </row>
    <row r="3">
      <c r="B3" s="1" t="s">
        <v>3</v>
      </c>
      <c r="C3" s="1">
        <v>60.0</v>
      </c>
    </row>
    <row r="4">
      <c r="B4" s="1" t="s">
        <v>4</v>
      </c>
      <c r="C4" s="1">
        <v>100.0</v>
      </c>
      <c r="G4" s="2" t="s">
        <v>5</v>
      </c>
      <c r="H4" s="3"/>
      <c r="I4" s="3"/>
      <c r="J4" s="3"/>
      <c r="K4" s="3"/>
      <c r="L4" s="4"/>
    </row>
    <row r="5">
      <c r="B5" s="1" t="s">
        <v>6</v>
      </c>
      <c r="C5" s="1">
        <v>3000.0</v>
      </c>
      <c r="G5" s="5"/>
      <c r="H5" s="1" t="s">
        <v>7</v>
      </c>
      <c r="I5" s="1" t="s">
        <v>8</v>
      </c>
      <c r="L5" s="6"/>
    </row>
    <row r="6">
      <c r="B6" s="1" t="s">
        <v>9</v>
      </c>
      <c r="C6" s="7">
        <v>2000000.0</v>
      </c>
      <c r="D6" s="1" t="s">
        <v>10</v>
      </c>
      <c r="G6" s="8" t="s">
        <v>11</v>
      </c>
      <c r="H6" s="9">
        <f>C4/8</f>
        <v>12.5</v>
      </c>
      <c r="I6" s="9">
        <f>(H6*1024*1024)/4</f>
        <v>3276800</v>
      </c>
      <c r="L6" s="6"/>
    </row>
    <row r="7">
      <c r="B7" s="1" t="s">
        <v>12</v>
      </c>
      <c r="C7" s="1">
        <f>1.6*1000000</f>
        <v>1600000</v>
      </c>
      <c r="D7" s="1" t="s">
        <v>13</v>
      </c>
      <c r="G7" s="8" t="s">
        <v>14</v>
      </c>
      <c r="H7" s="9">
        <f>C7*4/(1024*1024)</f>
        <v>6.103515625</v>
      </c>
      <c r="I7" s="9">
        <f>C7</f>
        <v>1600000</v>
      </c>
      <c r="L7" s="6"/>
    </row>
    <row r="8">
      <c r="A8" s="1" t="s">
        <v>15</v>
      </c>
      <c r="B8" s="1" t="s">
        <v>16</v>
      </c>
      <c r="C8" s="9">
        <f>0.01</f>
        <v>0.01</v>
      </c>
      <c r="G8" s="10" t="s">
        <v>17</v>
      </c>
      <c r="H8" s="11" t="s">
        <v>18</v>
      </c>
      <c r="I8" s="12"/>
      <c r="J8" s="12"/>
      <c r="K8" s="12"/>
      <c r="L8" s="13"/>
    </row>
    <row r="10">
      <c r="A10" s="1" t="s">
        <v>19</v>
      </c>
      <c r="B10" s="14" t="s">
        <v>20</v>
      </c>
      <c r="D10" s="1" t="s">
        <v>21</v>
      </c>
    </row>
    <row r="11">
      <c r="B11" s="1" t="s">
        <v>22</v>
      </c>
      <c r="C11" s="1">
        <v>3.0</v>
      </c>
      <c r="D11" s="1" t="s">
        <v>23</v>
      </c>
    </row>
    <row r="12">
      <c r="B12" s="1" t="s">
        <v>24</v>
      </c>
      <c r="C12" s="9">
        <f>C11*C5</f>
        <v>9000</v>
      </c>
    </row>
    <row r="13">
      <c r="B13" s="1" t="s">
        <v>25</v>
      </c>
      <c r="C13" s="9">
        <f>C12/C3</f>
        <v>150</v>
      </c>
      <c r="D13" s="1" t="s">
        <v>26</v>
      </c>
    </row>
    <row r="16">
      <c r="B16" s="14" t="s">
        <v>27</v>
      </c>
      <c r="D16" s="1" t="s">
        <v>28</v>
      </c>
    </row>
    <row r="17">
      <c r="B17" s="1" t="s">
        <v>29</v>
      </c>
      <c r="C17" s="9">
        <f>C8/(1024*1024)*4</f>
        <v>0.00000003814697266</v>
      </c>
      <c r="D17" s="1" t="s">
        <v>30</v>
      </c>
    </row>
    <row r="18">
      <c r="B18" s="1" t="s">
        <v>31</v>
      </c>
      <c r="C18" s="9">
        <f>C7*3600*24*30</f>
        <v>4147200000000</v>
      </c>
      <c r="D18" s="1" t="s">
        <v>32</v>
      </c>
    </row>
    <row r="19">
      <c r="B19" s="1" t="s">
        <v>33</v>
      </c>
      <c r="C19" s="9">
        <f>I6*3600*24*30</f>
        <v>8493465600000</v>
      </c>
    </row>
    <row r="20">
      <c r="B20" s="1" t="s">
        <v>34</v>
      </c>
      <c r="C20" s="9">
        <f>min(C18, C19/3)</f>
        <v>2831155200000</v>
      </c>
      <c r="D20" s="1" t="s">
        <v>35</v>
      </c>
    </row>
    <row r="21">
      <c r="B21" s="1" t="s">
        <v>36</v>
      </c>
      <c r="C21" s="9">
        <f>C5/C20</f>
        <v>0.000000001059638129</v>
      </c>
      <c r="D21" s="1" t="s">
        <v>37</v>
      </c>
    </row>
    <row r="22">
      <c r="B22" s="1" t="s">
        <v>38</v>
      </c>
      <c r="C22" s="9">
        <f>3*(C21+C17)</f>
        <v>0.0000001176198324</v>
      </c>
      <c r="D22" s="1" t="s">
        <v>39</v>
      </c>
    </row>
    <row r="23">
      <c r="B23" s="1" t="s">
        <v>40</v>
      </c>
      <c r="C23" s="9">
        <f>C22*1000000</f>
        <v>0.1176198324</v>
      </c>
      <c r="D23" s="1" t="s">
        <v>41</v>
      </c>
    </row>
    <row r="26">
      <c r="A26" s="1" t="s">
        <v>42</v>
      </c>
      <c r="B26" s="1" t="s">
        <v>43</v>
      </c>
    </row>
    <row r="27">
      <c r="B27" s="1" t="s">
        <v>44</v>
      </c>
      <c r="C27" s="9">
        <f>0.25*1024</f>
        <v>256</v>
      </c>
    </row>
    <row r="28">
      <c r="B28" s="1" t="s">
        <v>45</v>
      </c>
      <c r="C28" s="9">
        <f>C27/C13</f>
        <v>1.706666667</v>
      </c>
      <c r="D28" s="1" t="s">
        <v>46</v>
      </c>
    </row>
    <row r="29">
      <c r="B29" s="1" t="s">
        <v>47</v>
      </c>
      <c r="C29" s="15">
        <v>0.625</v>
      </c>
    </row>
    <row r="30">
      <c r="B30" s="1" t="s">
        <v>48</v>
      </c>
      <c r="C30" s="9">
        <f>4*C29</f>
        <v>2.5</v>
      </c>
      <c r="D30" s="1" t="s">
        <v>49</v>
      </c>
    </row>
    <row r="31">
      <c r="B31" s="1" t="s">
        <v>45</v>
      </c>
      <c r="C31" s="9">
        <f>C30/C23</f>
        <v>21.25491892</v>
      </c>
      <c r="D31" s="1" t="s">
        <v>50</v>
      </c>
    </row>
    <row r="32">
      <c r="D32" s="1" t="s">
        <v>51</v>
      </c>
    </row>
    <row r="33">
      <c r="D33" s="1" t="s">
        <v>52</v>
      </c>
    </row>
  </sheetData>
  <drawing r:id="rId1"/>
</worksheet>
</file>