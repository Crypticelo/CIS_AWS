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Fargate" sheetId="1" state="visible" r:id="rId3"/>
    <sheet name="Lambd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<sst xmlns="http://schemas.openxmlformats.org/spreadsheetml/2006/main" count="30" uniqueCount="24">
  <si>
    <t xml:space="preserve">Compute [CPUh]</t>
  </si>
  <si>
    <t xml:space="preserve">Memory [GB]</t>
  </si>
  <si>
    <t xml:space="preserve">A</t>
  </si>
  <si>
    <t xml:space="preserve">B</t>
  </si>
  <si>
    <t xml:space="preserve">vcpu</t>
  </si>
  <si>
    <t xml:space="preserve">min mem</t>
  </si>
  <si>
    <t xml:space="preserve">max mem</t>
  </si>
  <si>
    <t xml:space="preserve">Fargate Pricing</t>
  </si>
  <si>
    <t xml:space="preserve">per vCPU per hour</t>
  </si>
  <si>
    <t xml:space="preserve">per GB per hour</t>
  </si>
  <si>
    <t xml:space="preserve">Full CPU [MB/vcpu]</t>
  </si>
  <si>
    <t xml:space="preserve">Full CPU [GB/vcpu]</t>
  </si>
  <si>
    <t xml:space="preserve">vcpus</t>
  </si>
  <si>
    <t xml:space="preserve">Fixed Component</t>
  </si>
  <si>
    <t xml:space="preserve">wallclock runtime [h]</t>
  </si>
  <si>
    <t xml:space="preserve">GB-sec</t>
  </si>
  <si>
    <t xml:space="preserve">GB</t>
  </si>
  <si>
    <t xml:space="preserve">wallclock runtime [s]</t>
  </si>
  <si>
    <t xml:space="preserve">1vcpu</t>
  </si>
  <si>
    <t xml:space="preserve">duration cost [$]</t>
  </si>
  <si>
    <t xml:space="preserve">2vcpu</t>
  </si>
  <si>
    <t xml:space="preserve">total cost per execution [$]</t>
  </si>
  <si>
    <t xml:space="preserve">4vcpu</t>
  </si>
  <si>
    <t xml:space="preserve">5.8vcpu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</si>
</sst>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0" width="15.75"/>
    <col collapsed="false" customWidth="true" hidden="false" outlineLevel="0" max="2" min="2" style="0" width="17.75"/>
  </cols>
  <sheetData>
    <row r="2" customFormat="false" ht="15.75" hidden="false" customHeight="false" outlineLevel="0" collapsed="false">
      <c r="B2" s="1" t="s">
        <v>0</v>
      </c>
      <c r="C2" s="1" t="s">
        <v>1</v>
      </c>
    </row>
    <row r="3" customFormat="false" ht="15.75" hidden="false" customHeight="false" outlineLevel="0" collapsed="false">
      <c r="A3" s="1" t="s">
        <v>2</v>
      </c>
      <c r="B3" s="1" t="n">
        <v>1</v>
      </c>
      <c r="C3" s="1" t="n">
        <v>0.5</v>
      </c>
    </row>
    <row r="4" customFormat="false" ht="15.75" hidden="false" customHeight="false" outlineLevel="0" collapsed="false">
      <c r="A4" s="1" t="s">
        <v>3</v>
      </c>
      <c r="B4" s="1" t="n">
        <v>0.5</v>
      </c>
      <c r="C4" s="1" t="n">
        <v>6</v>
      </c>
      <c r="G4" s="1" t="s">
        <v>2</v>
      </c>
    </row>
    <row r="5" customFormat="false" ht="15.75" hidden="false" customHeight="false" outlineLevel="0" collapsed="false">
      <c r="G5" s="1" t="s">
        <v>4</v>
      </c>
      <c r="H5" s="1" t="s">
        <v>5</v>
      </c>
      <c r="I5" s="1" t="s">
        <v>6</v>
      </c>
    </row>
    <row r="6" customFormat="false" ht="15.75" hidden="false" customHeight="false" outlineLevel="0" collapsed="false">
      <c r="G6" s="1" t="n">
        <v>0.25</v>
      </c>
      <c r="H6" s="1" t="n">
        <v>0.5</v>
      </c>
      <c r="I6" s="1" t="n">
        <v>2</v>
      </c>
    </row>
    <row r="7" customFormat="false" ht="15.75" hidden="false" customHeight="false" outlineLevel="0" collapsed="false">
      <c r="A7" s="1" t="s">
        <v>7</v>
      </c>
      <c r="G7" s="1" t="n">
        <v>0.5</v>
      </c>
      <c r="H7" s="1" t="n">
        <v>1</v>
      </c>
      <c r="I7" s="1" t="n">
        <v>4</v>
      </c>
    </row>
    <row r="8" customFormat="false" ht="15.75" hidden="false" customHeight="false" outlineLevel="0" collapsed="false">
      <c r="A8" s="1" t="s">
        <v>8</v>
      </c>
      <c r="B8" s="1" t="n">
        <v>0.04048</v>
      </c>
      <c r="G8" s="1" t="n">
        <v>1</v>
      </c>
      <c r="H8" s="1" t="n">
        <v>2</v>
      </c>
      <c r="I8" s="1" t="n">
        <v>8</v>
      </c>
    </row>
    <row r="9" customFormat="false" ht="15.75" hidden="false" customHeight="false" outlineLevel="0" collapsed="false">
      <c r="A9" s="1" t="s">
        <v>9</v>
      </c>
      <c r="B9" s="1" t="n">
        <v>0.004445</v>
      </c>
      <c r="G9" s="1" t="n">
        <v>2</v>
      </c>
      <c r="H9" s="1" t="n">
        <v>4</v>
      </c>
      <c r="I9" s="1" t="n">
        <v>16</v>
      </c>
    </row>
    <row r="10" customFormat="false" ht="15.75" hidden="false" customHeight="false" outlineLevel="0" collapsed="false">
      <c r="G10" s="1" t="n">
        <v>4</v>
      </c>
      <c r="H10" s="1" t="n">
        <v>8</v>
      </c>
      <c r="I10" s="1" t="n">
        <v>30</v>
      </c>
    </row>
    <row r="11" customFormat="false" ht="15.75" hidden="false" customHeight="false" outlineLevel="0" collapsed="false">
      <c r="G11" s="1" t="n">
        <v>8</v>
      </c>
      <c r="H11" s="1" t="n">
        <v>16</v>
      </c>
      <c r="I11" s="1" t="n">
        <v>60</v>
      </c>
    </row>
    <row r="12" customFormat="false" ht="15.75" hidden="false" customHeight="false" outlineLevel="0" collapsed="false">
      <c r="G12" s="1" t="n">
        <v>16</v>
      </c>
      <c r="H12" s="1" t="n">
        <v>32</v>
      </c>
      <c r="I12" s="1" t="n">
        <v>120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4" activeCellId="0" sqref="F4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14.75"/>
    <col collapsed="false" customWidth="true" hidden="false" outlineLevel="0" max="5" min="5" style="0" width="25.73"/>
    <col collapsed="false" customWidth="true" hidden="false" outlineLevel="0" max="6" min="6" style="0" width="15.51"/>
  </cols>
  <sheetData>
    <row r="1" customFormat="false" ht="15.75" hidden="false" customHeight="false" outlineLevel="0" collapsed="false">
      <c r="E1" s="1" t="s">
        <v>10</v>
      </c>
      <c r="F1" s="1" t="n">
        <v>1792</v>
      </c>
    </row>
    <row r="2" customFormat="false" ht="15.75" hidden="false" customHeight="false" outlineLevel="0" collapsed="false">
      <c r="B2" s="1" t="s">
        <v>0</v>
      </c>
      <c r="C2" s="1" t="s">
        <v>1</v>
      </c>
      <c r="E2" s="1" t="s">
        <v>11</v>
      </c>
      <c r="F2" s="2" t="n">
        <f aca="false">F1/1024</f>
        <v>1.75</v>
      </c>
    </row>
    <row r="3" customFormat="false" ht="15.75" hidden="false" customHeight="false" outlineLevel="0" collapsed="false">
      <c r="A3" s="1" t="s">
        <v>2</v>
      </c>
      <c r="B3" s="1" t="n">
        <v>1</v>
      </c>
      <c r="C3" s="1" t="n">
        <v>0.5</v>
      </c>
    </row>
    <row r="4" customFormat="false" ht="15.75" hidden="false" customHeight="false" outlineLevel="0" collapsed="false">
      <c r="A4" s="1" t="s">
        <v>3</v>
      </c>
      <c r="B4" s="1" t="n">
        <v>0.5</v>
      </c>
      <c r="C4" s="1" t="n">
        <v>4</v>
      </c>
    </row>
    <row r="5" customFormat="false" ht="15.75" hidden="false" customHeight="false" outlineLevel="0" collapsed="false">
      <c r="E5" s="1" t="s">
        <v>2</v>
      </c>
    </row>
    <row r="6" customFormat="false" ht="15.75" hidden="false" customHeight="false" outlineLevel="0" collapsed="false">
      <c r="E6" s="1" t="s">
        <v>12</v>
      </c>
      <c r="F6" s="1" t="n">
        <v>4</v>
      </c>
    </row>
    <row r="7" customFormat="false" ht="15.75" hidden="false" customHeight="false" outlineLevel="0" collapsed="false">
      <c r="A7" s="1" t="s">
        <v>13</v>
      </c>
      <c r="B7" s="2" t="n">
        <f aca="false">0.2/1000000</f>
        <v>2E-007</v>
      </c>
      <c r="E7" s="1" t="s">
        <v>14</v>
      </c>
      <c r="F7" s="2" t="n">
        <f aca="false">B3/F6</f>
        <v>0.25</v>
      </c>
    </row>
    <row r="8" customFormat="false" ht="15.75" hidden="false" customHeight="false" outlineLevel="0" collapsed="false">
      <c r="A8" s="1" t="s">
        <v>15</v>
      </c>
      <c r="B8" s="1" t="n">
        <v>1.66667E-005</v>
      </c>
      <c r="E8" s="1" t="s">
        <v>16</v>
      </c>
      <c r="F8" s="2" t="n">
        <f aca="false">F2*F6</f>
        <v>7</v>
      </c>
    </row>
    <row r="9" customFormat="false" ht="15.75" hidden="false" customHeight="false" outlineLevel="0" collapsed="false">
      <c r="E9" s="1" t="s">
        <v>17</v>
      </c>
      <c r="F9" s="2" t="n">
        <f aca="false">F7*3600</f>
        <v>900</v>
      </c>
    </row>
    <row r="11" customFormat="false" ht="15.75" hidden="false" customHeight="false" outlineLevel="0" collapsed="false">
      <c r="A11" s="1" t="s">
        <v>18</v>
      </c>
      <c r="B11" s="1" t="n">
        <v>60</v>
      </c>
      <c r="C11" s="1" t="n">
        <v>1</v>
      </c>
      <c r="D11" s="2" t="n">
        <f aca="false">B11*C11</f>
        <v>60</v>
      </c>
      <c r="E11" s="1" t="s">
        <v>19</v>
      </c>
      <c r="F11" s="2" t="n">
        <f aca="false">F9*F8*B8</f>
        <v>0.10500021</v>
      </c>
    </row>
    <row r="12" customFormat="false" ht="15.75" hidden="false" customHeight="false" outlineLevel="0" collapsed="false">
      <c r="A12" s="1" t="s">
        <v>20</v>
      </c>
      <c r="B12" s="1" t="n">
        <v>30</v>
      </c>
      <c r="C12" s="1" t="n">
        <v>2</v>
      </c>
      <c r="D12" s="2" t="n">
        <f aca="false">B12*C12</f>
        <v>60</v>
      </c>
      <c r="E12" s="3" t="s">
        <v>21</v>
      </c>
      <c r="F12" s="2" t="n">
        <f aca="false">B7+F11</f>
        <v>0.10500041</v>
      </c>
    </row>
    <row r="13" customFormat="false" ht="15.75" hidden="false" customHeight="false" outlineLevel="0" collapsed="false">
      <c r="A13" s="1" t="s">
        <v>22</v>
      </c>
      <c r="B13" s="1" t="n">
        <v>15</v>
      </c>
      <c r="C13" s="1" t="n">
        <v>4</v>
      </c>
      <c r="D13" s="2" t="n">
        <f aca="false">B13*C13</f>
        <v>60</v>
      </c>
    </row>
    <row r="14" customFormat="false" ht="15.75" hidden="false" customHeight="false" outlineLevel="0" collapsed="false">
      <c r="A14" s="1" t="s">
        <v>23</v>
      </c>
      <c r="B14" s="2" t="n">
        <f aca="false">60/5.8</f>
        <v>10.34482759</v>
      </c>
      <c r="C14" s="1" t="n">
        <v>5.8</v>
      </c>
      <c r="D14" s="2" t="n">
        <f aca="false">B14*C14</f>
        <v>60.000000022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2024-11-26T08:59:46Z</dcterms:modified>
  <cp:revision>2</cp:revision>
  <dc:subject/>
  <dc:title/>
</cp:coreProperties>
</file>