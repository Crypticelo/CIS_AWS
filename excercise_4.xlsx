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<sst xmlns="http://schemas.openxmlformats.org/spreadsheetml/2006/main" count="50" uniqueCount="48">
  <si>
    <t>Capital Expenses</t>
  </si>
  <si>
    <t>Operational Expenses</t>
  </si>
  <si>
    <t>Staff</t>
  </si>
  <si>
    <t>Server Admin [€/year]</t>
  </si>
  <si>
    <t>Number of Servers</t>
  </si>
  <si>
    <t>Server Admin [€/month]</t>
  </si>
  <si>
    <t>Cost per Rack</t>
  </si>
  <si>
    <t>Lifetime [years]</t>
  </si>
  <si>
    <t>Racks per Admin</t>
  </si>
  <si>
    <t>Cost of Server</t>
  </si>
  <si>
    <t>(Note: Assume 50% discount vs full price in exercise)</t>
  </si>
  <si>
    <t>Server Admin [€/rack/month]</t>
  </si>
  <si>
    <t>Cost of Rack</t>
  </si>
  <si>
    <t>Server Admin [€/server/month]</t>
  </si>
  <si>
    <t>Servers per Rack</t>
  </si>
  <si>
    <t>Other Hardware</t>
  </si>
  <si>
    <t>Energy</t>
  </si>
  <si>
    <t>Server</t>
  </si>
  <si>
    <t>Server Power Consumption [Watt/Socket]</t>
  </si>
  <si>
    <t>Cost Server [€/month]</t>
  </si>
  <si>
    <t>Number of Sockets</t>
  </si>
  <si>
    <t>Cost Rack [€/month]</t>
  </si>
  <si>
    <t>Total Power Consumption [Watt]</t>
  </si>
  <si>
    <t>Monthly Cost per Server [€/month]</t>
  </si>
  <si>
    <t>Avg. Power Draw [%]</t>
  </si>
  <si>
    <t>Power Draw per Hour [kWh]</t>
  </si>
  <si>
    <t>(Note: Multiply with avg power draw)</t>
  </si>
  <si>
    <t>Cost of Building</t>
  </si>
  <si>
    <t>Power Draw per Month [kWh]</t>
  </si>
  <si>
    <t>Data Center Size [MW]</t>
  </si>
  <si>
    <t xml:space="preserve">Electricity Price [€/kWh] </t>
  </si>
  <si>
    <t>Construction Cost [€/W]</t>
  </si>
  <si>
    <t>Energy Cost per Month [€]</t>
  </si>
  <si>
    <t>(Note: Forgot to multiply by cost per kWh in exercise)</t>
  </si>
  <si>
    <t>Total Construction Cost [€]</t>
  </si>
  <si>
    <t>Construction Cost per Server [€]</t>
  </si>
  <si>
    <t>Data Center</t>
  </si>
  <si>
    <t>Power Effectiveness Unit (PUE)</t>
  </si>
  <si>
    <t>Cons Cost per Server per Month</t>
  </si>
  <si>
    <t>DC Energy Overhead per Server</t>
  </si>
  <si>
    <t>Maintenance Cost</t>
  </si>
  <si>
    <t>DC OPEX w/o Electricity [€/W]</t>
  </si>
  <si>
    <t>Aggregated CAPEX [€/month]</t>
  </si>
  <si>
    <t xml:space="preserve">(Note: In the exercise I forgot to add the cost of server here) </t>
  </si>
  <si>
    <t>DC OPEX w/o Electricity [€]</t>
  </si>
  <si>
    <t>DC OPEX per Server [€]</t>
  </si>
  <si>
    <t>On-Premise Cost per Month</t>
  </si>
  <si>
    <t>Aggregated OPEX [€/month]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</si>
</sst>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€&quot;#,##0.00"/>
    <numFmt numFmtId="165" formatCode="&quot;€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Border="1" applyFont="1"/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4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7.0"/>
    <col customWidth="1" min="4" max="4" width="31.25"/>
    <col customWidth="1" min="5" max="5" width="14.75"/>
    <col customWidth="1" min="6" max="6" width="25.25"/>
    <col customWidth="1" min="7" max="7" width="33.25"/>
  </cols>
  <sheetData>
    <row r="1">
      <c r="A1" s="1"/>
      <c r="B1" s="2" t="s">
        <v>0</v>
      </c>
      <c r="D1" s="3"/>
      <c r="F1" s="4" t="s">
        <v>1</v>
      </c>
    </row>
    <row r="2">
      <c r="D2" s="3"/>
    </row>
    <row r="3">
      <c r="D3" s="3"/>
      <c r="E3" s="1" t="s">
        <v>2</v>
      </c>
      <c r="F3" s="1" t="s">
        <v>3</v>
      </c>
      <c r="G3" s="1">
        <v>70000.0</v>
      </c>
    </row>
    <row r="4">
      <c r="B4" s="1" t="s">
        <v>4</v>
      </c>
      <c r="C4" s="1">
        <v>4000.0</v>
      </c>
      <c r="D4" s="3"/>
      <c r="F4" s="1" t="s">
        <v>5</v>
      </c>
      <c r="G4" s="5">
        <f>G3/12</f>
        <v>5833.333333</v>
      </c>
    </row>
    <row r="5">
      <c r="A5" s="1" t="s">
        <v>6</v>
      </c>
      <c r="B5" s="1" t="s">
        <v>7</v>
      </c>
      <c r="C5" s="1">
        <v>3.0</v>
      </c>
      <c r="D5" s="3"/>
      <c r="F5" s="1" t="s">
        <v>8</v>
      </c>
      <c r="G5" s="1">
        <v>10.0</v>
      </c>
    </row>
    <row r="6">
      <c r="B6" s="1" t="s">
        <v>9</v>
      </c>
      <c r="C6" s="6">
        <v>18835.76</v>
      </c>
      <c r="D6" s="7" t="s">
        <v>10</v>
      </c>
      <c r="F6" s="1" t="s">
        <v>11</v>
      </c>
      <c r="G6" s="5">
        <f>G4/G5</f>
        <v>583.3333333</v>
      </c>
    </row>
    <row r="7">
      <c r="B7" s="1" t="s">
        <v>12</v>
      </c>
      <c r="C7" s="8">
        <v>1500.0</v>
      </c>
      <c r="D7" s="3"/>
      <c r="F7" s="1" t="s">
        <v>13</v>
      </c>
      <c r="G7" s="5">
        <f>G6/C8</f>
        <v>13.88888889</v>
      </c>
    </row>
    <row r="8">
      <c r="B8" s="1" t="s">
        <v>14</v>
      </c>
      <c r="C8" s="1">
        <v>42.0</v>
      </c>
      <c r="D8" s="3"/>
    </row>
    <row r="9">
      <c r="B9" s="1" t="s">
        <v>15</v>
      </c>
      <c r="C9" s="8">
        <v>5000.0</v>
      </c>
      <c r="D9" s="3"/>
      <c r="E9" s="1" t="s">
        <v>16</v>
      </c>
      <c r="F9" s="1" t="s">
        <v>17</v>
      </c>
      <c r="G9" s="1" t="s">
        <v>18</v>
      </c>
      <c r="H9" s="1">
        <v>360.0</v>
      </c>
    </row>
    <row r="10">
      <c r="B10" s="1" t="s">
        <v>19</v>
      </c>
      <c r="C10" s="9">
        <f>C6/(12*C5)</f>
        <v>523.2155556</v>
      </c>
      <c r="D10" s="3"/>
      <c r="G10" s="1" t="s">
        <v>20</v>
      </c>
      <c r="H10" s="1">
        <v>2.0</v>
      </c>
    </row>
    <row r="11">
      <c r="B11" s="1" t="s">
        <v>21</v>
      </c>
      <c r="C11" s="10">
        <f>((C7+C9)/C8)/(12*C5)</f>
        <v>4.298941799</v>
      </c>
      <c r="D11" s="3"/>
      <c r="G11" s="1" t="s">
        <v>22</v>
      </c>
      <c r="H11" s="5">
        <f>H9*H10</f>
        <v>720</v>
      </c>
    </row>
    <row r="12">
      <c r="B12" s="1" t="s">
        <v>23</v>
      </c>
      <c r="C12" s="9">
        <f>C10+C11</f>
        <v>527.5144974</v>
      </c>
      <c r="D12" s="3"/>
      <c r="G12" s="1" t="s">
        <v>24</v>
      </c>
      <c r="H12" s="1">
        <v>0.75</v>
      </c>
    </row>
    <row r="13">
      <c r="A13" s="1"/>
      <c r="D13" s="3"/>
      <c r="G13" s="1" t="s">
        <v>25</v>
      </c>
      <c r="H13" s="5">
        <f>(H11*H12)/1000</f>
        <v>0.54</v>
      </c>
      <c r="I13" s="1" t="s">
        <v>26</v>
      </c>
    </row>
    <row r="14">
      <c r="A14" s="11" t="s">
        <v>27</v>
      </c>
      <c r="B14" s="1" t="s">
        <v>7</v>
      </c>
      <c r="C14" s="1">
        <v>10.0</v>
      </c>
      <c r="D14" s="3"/>
      <c r="G14" s="1" t="s">
        <v>28</v>
      </c>
      <c r="H14" s="5">
        <f>H13*24*30</f>
        <v>388.8</v>
      </c>
    </row>
    <row r="15">
      <c r="B15" s="1" t="s">
        <v>29</v>
      </c>
      <c r="C15" s="1">
        <v>3.0</v>
      </c>
      <c r="D15" s="3"/>
      <c r="G15" s="1" t="s">
        <v>30</v>
      </c>
      <c r="H15" s="1">
        <v>0.2</v>
      </c>
    </row>
    <row r="16">
      <c r="B16" s="1" t="s">
        <v>31</v>
      </c>
      <c r="C16" s="1">
        <v>15.0</v>
      </c>
      <c r="D16" s="3"/>
      <c r="G16" s="1" t="s">
        <v>32</v>
      </c>
      <c r="H16" s="5">
        <f>H14*H15</f>
        <v>77.76</v>
      </c>
      <c r="I16" s="1" t="s">
        <v>33</v>
      </c>
    </row>
    <row r="17">
      <c r="B17" s="1" t="s">
        <v>34</v>
      </c>
      <c r="C17" s="5">
        <f>C16*1000000*C15</f>
        <v>45000000</v>
      </c>
      <c r="D17" s="3"/>
    </row>
    <row r="18">
      <c r="B18" s="1" t="s">
        <v>35</v>
      </c>
      <c r="C18" s="5">
        <f>C17/C4</f>
        <v>11250</v>
      </c>
      <c r="D18" s="3"/>
      <c r="F18" s="1" t="s">
        <v>36</v>
      </c>
      <c r="G18" s="1" t="s">
        <v>37</v>
      </c>
      <c r="H18" s="1">
        <v>2.0</v>
      </c>
    </row>
    <row r="19">
      <c r="B19" s="1" t="s">
        <v>38</v>
      </c>
      <c r="C19" s="5">
        <f>C18/(C14*12)</f>
        <v>93.75</v>
      </c>
      <c r="D19" s="3"/>
      <c r="G19" s="1" t="s">
        <v>39</v>
      </c>
      <c r="H19" s="5">
        <f>(H18-1)*H16</f>
        <v>77.76</v>
      </c>
    </row>
    <row r="20">
      <c r="D20" s="3"/>
    </row>
    <row r="21">
      <c r="D21" s="3"/>
    </row>
    <row r="22">
      <c r="D22" s="3"/>
      <c r="E22" s="1" t="s">
        <v>40</v>
      </c>
      <c r="F22" s="1" t="s">
        <v>36</v>
      </c>
      <c r="G22" s="1" t="s">
        <v>41</v>
      </c>
      <c r="H22" s="1">
        <v>0.08</v>
      </c>
    </row>
    <row r="23">
      <c r="B23" s="12" t="s">
        <v>42</v>
      </c>
      <c r="C23" s="9">
        <f>C12+C19</f>
        <v>621.2644974</v>
      </c>
      <c r="D23" s="7" t="s">
        <v>43</v>
      </c>
      <c r="G23" s="1" t="s">
        <v>44</v>
      </c>
      <c r="H23" s="5">
        <f>H22*C15*1000000</f>
        <v>240000</v>
      </c>
    </row>
    <row r="24">
      <c r="D24" s="3"/>
      <c r="G24" s="1" t="s">
        <v>45</v>
      </c>
      <c r="H24" s="5">
        <f>H23/C4</f>
        <v>60</v>
      </c>
    </row>
    <row r="25">
      <c r="D25" s="3"/>
    </row>
    <row r="26">
      <c r="D26" s="3"/>
    </row>
    <row r="27">
      <c r="B27" s="12" t="s">
        <v>46</v>
      </c>
      <c r="C27" s="9">
        <f>C23+G27</f>
        <v>850.6733862</v>
      </c>
      <c r="D27" s="3"/>
      <c r="F27" s="12" t="s">
        <v>47</v>
      </c>
      <c r="G27" s="5">
        <f>G7+H16+H19+H24</f>
        <v>229.4088889</v>
      </c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</sheetData>
  <drawing r:id="rId1"/>
</worksheet>
</file>